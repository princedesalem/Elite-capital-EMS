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edri\OneDrive - ELITE CAPITAL Group S.A\Documents\EMS\extranet\"/>
    </mc:Choice>
  </mc:AlternateContent>
  <xr:revisionPtr revIDLastSave="0" documentId="8_{9EC5E174-DCC8-45D8-8D1C-38ED14939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ivi EMS" sheetId="1" r:id="rId1"/>
    <sheet name="Tableau de Bord" sheetId="2" r:id="rId2"/>
  </sheets>
  <definedNames>
    <definedName name="_xlnm._FilterDatabase" localSheetId="0" hidden="1">'Suivi EMS'!$A$2:$G$2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D7" i="2"/>
  <c r="B7" i="2"/>
  <c r="F6" i="2"/>
  <c r="D6" i="2"/>
  <c r="B6" i="2"/>
  <c r="A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41" i="1" s="1"/>
  <c r="G3" i="1"/>
  <c r="B4" i="2" l="1"/>
  <c r="B9" i="2"/>
</calcChain>
</file>

<file path=xl/sharedStrings.xml><?xml version="1.0" encoding="utf-8"?>
<sst xmlns="http://schemas.openxmlformats.org/spreadsheetml/2006/main" count="211" uniqueCount="82">
  <si>
    <t>SUIVI DES FONCTIONNALITÉS EMS — Roadmap 2026</t>
  </si>
  <si>
    <t>Rubrique</t>
  </si>
  <si>
    <t>Action</t>
  </si>
  <si>
    <t>Date d'insertion</t>
  </si>
  <si>
    <t>État</t>
  </si>
  <si>
    <t>Délais</t>
  </si>
  <si>
    <t>Date de fin</t>
  </si>
  <si>
    <t>% Avancement</t>
  </si>
  <si>
    <t>Organigramme</t>
  </si>
  <si>
    <t>Le responsable doit toujours être plus haut que l'employé dans le visuel de l'organigramme</t>
  </si>
  <si>
    <t>27/04/2026</t>
  </si>
  <si>
    <t>En cours</t>
  </si>
  <si>
    <t>3 j</t>
  </si>
  <si>
    <t>Missions</t>
  </si>
  <si>
    <t>Bloquer la clôture d'une mission si une preuve de frais n'est pas téléversée</t>
  </si>
  <si>
    <t>Terminé</t>
  </si>
  <si>
    <t>1 j</t>
  </si>
  <si>
    <t>28/04/2026</t>
  </si>
  <si>
    <t>Notifications de frais : libellé → "Une nouvelle demande..." ; bouton → "Voir la demande"</t>
  </si>
  <si>
    <t>Non débuté</t>
  </si>
  <si>
    <t>Supprimer "Nouvelle mission multi-destinations" → utiliser "Nouvelle mission"</t>
  </si>
  <si>
    <t>0.5 j</t>
  </si>
  <si>
    <t>Employés</t>
  </si>
  <si>
    <t>Rendre le matricule alphanumérique (lettres + chiffres)</t>
  </si>
  <si>
    <t>Enregistrer le salaire à la création ; chaque employé voit uniquement le sien ; RH voit tout</t>
  </si>
  <si>
    <t>2 j</t>
  </si>
  <si>
    <t>Ajouter le filtrage des employés par sexe</t>
  </si>
  <si>
    <t>Opérations</t>
  </si>
  <si>
    <t>Les opérations doivent apparaître simultanément chez les deux DG</t>
  </si>
  <si>
    <t>Notifications</t>
  </si>
  <si>
    <t>Relances et notifications envoyées hors application (email + mobile push)</t>
  </si>
  <si>
    <t>5 j</t>
  </si>
  <si>
    <t>Supprimer la mention "en tant que [rôle]" dans toutes les notifications</t>
  </si>
  <si>
    <t>Toast de notification : utiliser le bleu de la charte graphique EMS</t>
  </si>
  <si>
    <t>Biométrie / Intégration</t>
  </si>
  <si>
    <t>Prévoir la connexion avec une application de biométrie pour gérer les retards</t>
  </si>
  <si>
    <t>10 j</t>
  </si>
  <si>
    <t>Intégration Sage Paie (automatisation des retenues salariales)</t>
  </si>
  <si>
    <t>15 j</t>
  </si>
  <si>
    <t>Congés</t>
  </si>
  <si>
    <t>Règle : demande créée &gt; 3 sem avant début → modification bloquée à 2 sem avant début</t>
  </si>
  <si>
    <t>Congés / Permissions</t>
  </si>
  <si>
    <t>Maternité simple : 14 semaines (était 16) ; Maternité pathologique : 20 semaines (était 18)</t>
  </si>
  <si>
    <t>UI / UX</t>
  </si>
  <si>
    <t>Ajouter un scroll horizontal sur chaque tableau de l'application</t>
  </si>
  <si>
    <t>Ajouter "et autres" à côté du dernier pays dans l'onglet Organisation</t>
  </si>
  <si>
    <t>Sécurité</t>
  </si>
  <si>
    <t>Politique de gestion des failles zero-day (procédure, veille CVE, patch management)</t>
  </si>
  <si>
    <t>Performance &amp; Évaluation</t>
  </si>
  <si>
    <t>Notation : respect délais validation (valideur max 3h, sinon mauvaise note)</t>
  </si>
  <si>
    <t>7 j</t>
  </si>
  <si>
    <t>Notation : comportement sur l'application</t>
  </si>
  <si>
    <t>Notation : taux de participation aux événements (liste participation + présence le jour J)</t>
  </si>
  <si>
    <t>Intégrer les notations dans Rubrique Parcours, Module Performance, 360°</t>
  </si>
  <si>
    <t>Évaluation esprit d'équipe</t>
  </si>
  <si>
    <t>Gestion Disciplinaire</t>
  </si>
  <si>
    <t>Module : blâme, avertissement, sanctions, demande d'explication, conseil de discipline</t>
  </si>
  <si>
    <t>Ajouter un module Demande d'Explication (DE) dédié</t>
  </si>
  <si>
    <t>Reporting &amp; Data</t>
  </si>
  <si>
    <t>Export Excel complet incluant les données sources des graphiques</t>
  </si>
  <si>
    <t>Amélioration PDF : template avec logo en haut à gauche sur tous les exports PDF</t>
  </si>
  <si>
    <t>PDF : signature automatique des validateurs lors de chaque validation</t>
  </si>
  <si>
    <t>4 j</t>
  </si>
  <si>
    <t>PDF : ajouter une table de signatures</t>
  </si>
  <si>
    <t>IA / Aide à la Décision</t>
  </si>
  <si>
    <t>Résumé automatique du dashboard par IA</t>
  </si>
  <si>
    <t>Recommandations contextuelles pour managers (solde congés critique, actions suggérées)</t>
  </si>
  <si>
    <t>Rapport narratif PDF en langage naturel pour comités de direction</t>
  </si>
  <si>
    <t>12 j</t>
  </si>
  <si>
    <t>NLP &amp; Recherche</t>
  </si>
  <si>
    <t>Recherche employés en langage naturel → génération SQL automatique</t>
  </si>
  <si>
    <t>Chatbot RH interne (solde congés, statut missions, etc.)</t>
  </si>
  <si>
    <t>20 j</t>
  </si>
  <si>
    <t>Extraction d'informations depuis documents/contrats pour pré-remplir les formulaires</t>
  </si>
  <si>
    <t>Analyse Performance</t>
  </si>
  <si>
    <t>Scoring composite par département (présence + productivité + missions + formations)</t>
  </si>
  <si>
    <t>Détection de biais dans les validations congés/permissions (hommes/femmes, entités, grades)</t>
  </si>
  <si>
    <t>Tests</t>
  </si>
  <si>
    <t>Ajouter des tests automatisés pour toutes les fonctionnalités ci-dessus</t>
  </si>
  <si>
    <t>TABLEAU DE BORD — Avancement du Projet EMS</t>
  </si>
  <si>
    <t>AVANCEMENT GLOBAL DU PROJET</t>
  </si>
  <si>
    <t>Dernière mise à jour : 27/04/2026  |  Total tâches : 38  |  Modifiez l'état dans l'onglet « Suivi EMS » colonne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</si>
</sst>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%&quot; — avancement global du projet&quot;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02162E"/>
      <name val="Calibri"/>
      <family val="2"/>
    </font>
    <font>
      <sz val="10"/>
      <color rgb="FF606060"/>
      <name val="Calibri"/>
      <family val="2"/>
    </font>
    <font>
      <b/>
      <sz val="10"/>
      <color rgb="FFFFFFFF"/>
      <name val="Calibri"/>
      <family val="2"/>
    </font>
    <font>
      <b/>
      <sz val="10"/>
      <color rgb="FFD0202B"/>
      <name val="Calibri"/>
      <family val="2"/>
    </font>
    <font>
      <b/>
      <sz val="16"/>
      <color rgb="FFFFFFFF"/>
      <name val="Calibri"/>
      <family val="2"/>
    </font>
    <font>
      <b/>
      <sz val="13"/>
      <color rgb="FFFFFFFF"/>
      <name val="Calibri"/>
      <family val="2"/>
    </font>
    <font>
      <b/>
      <sz val="32"/>
      <color rgb="FFFFFFFF"/>
      <name val="Calibri"/>
      <family val="2"/>
    </font>
    <font>
      <b/>
      <sz val="11"/>
      <color rgb="FF02162E"/>
      <name val="Calibri"/>
      <family val="2"/>
    </font>
    <font>
      <b/>
      <sz val="22"/>
      <color rgb="FF02162E"/>
      <name val="Calibri"/>
      <family val="2"/>
    </font>
    <font>
      <b/>
      <sz val="22"/>
      <color rgb="FFFFFFFF"/>
      <name val="Calibri"/>
      <family val="2"/>
    </font>
    <font>
      <b/>
      <sz val="11"/>
      <color rgb="FFD0202B"/>
      <name val="Calibri"/>
      <family val="2"/>
    </font>
    <font>
      <b/>
      <sz val="22"/>
      <color rgb="FFD0202B"/>
      <name val="Calibri"/>
      <family val="2"/>
    </font>
    <font>
      <b/>
      <sz val="18"/>
      <color rgb="FFFFFFFF"/>
      <name val="Calibri"/>
      <family val="2"/>
    </font>
    <font>
      <i/>
      <sz val="9"/>
      <color rgb="FF60606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2162E"/>
      </patternFill>
    </fill>
    <fill>
      <patternFill patternType="solid">
        <fgColor rgb="FF17283D"/>
      </patternFill>
    </fill>
    <fill>
      <patternFill patternType="solid">
        <fgColor rgb="FFF4F5F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8D7DA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D0202B"/>
      </left>
      <right style="medium">
        <color rgb="FFD0202B"/>
      </right>
      <top style="medium">
        <color rgb="FFD0202B"/>
      </top>
      <bottom style="medium">
        <color rgb="FFD0202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164" fontId="1" fillId="2" borderId="2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sz val="10"/>
        <color rgb="FFD0202B"/>
        <name val="Calibri"/>
      </font>
      <fill>
        <patternFill patternType="solid">
          <fgColor rgb="FFF8D7DA"/>
        </patternFill>
      </fill>
    </dxf>
    <dxf>
      <font>
        <b/>
        <sz val="10"/>
        <color rgb="FFFFFFFF"/>
        <name val="Calibri"/>
      </font>
      <fill>
        <patternFill patternType="solid">
          <fgColor rgb="FF17283D"/>
        </patternFill>
      </fill>
    </dxf>
    <dxf>
      <font>
        <b/>
        <sz val="10"/>
        <color rgb="FF02162E"/>
        <name val="Calibri"/>
      </font>
      <fill>
        <patternFill patternType="solid">
          <fgColor rgb="FFE8F5E9"/>
        </patternFill>
      </fill>
    </dxf>
    <dxf>
      <font>
        <b/>
        <sz val="10"/>
        <color rgb="FFD0202B"/>
        <name val="Calibri"/>
      </font>
      <fill>
        <patternFill patternType="solid">
          <fgColor rgb="FFF8D7DA"/>
        </patternFill>
      </fill>
    </dxf>
    <dxf>
      <font>
        <b/>
        <sz val="10"/>
        <color rgb="FFFFFFFF"/>
        <name val="Calibri"/>
      </font>
      <fill>
        <patternFill patternType="solid">
          <fgColor rgb="FF17283D"/>
        </patternFill>
      </fill>
    </dxf>
    <dxf>
      <font>
        <b/>
        <sz val="10"/>
        <color rgb="FF02162E"/>
        <name val="Calibri"/>
      </font>
      <fill>
        <patternFill patternType="solid">
          <f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2" topLeftCell="A3" activePane="bottomLeft" state="frozen"/>
      <selection pane="bottomLeft" activeCell="K5" sqref="K5"/>
    </sheetView>
  </sheetViews>
  <sheetFormatPr baseColWidth="10" defaultColWidth="9.140625" defaultRowHeight="15" x14ac:dyDescent="0.25"/>
  <cols>
    <col min="1" max="1" width="28" customWidth="1"/>
    <col min="2" max="2" width="55" customWidth="1"/>
    <col min="3" max="4" width="16" customWidth="1"/>
    <col min="5" max="5" width="10" customWidth="1"/>
    <col min="6" max="7" width="14" customWidth="1"/>
  </cols>
  <sheetData>
    <row r="1" spans="1:7" ht="39.950000000000003" customHeight="1" x14ac:dyDescent="0.25">
      <c r="A1" s="20" t="s">
        <v>0</v>
      </c>
      <c r="B1" s="19"/>
      <c r="C1" s="19"/>
      <c r="D1" s="19"/>
      <c r="E1" s="19"/>
      <c r="F1" s="19"/>
      <c r="G1" s="19"/>
    </row>
    <row r="2" spans="1:7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6" customHeight="1" x14ac:dyDescent="0.25">
      <c r="A3" s="2" t="s">
        <v>8</v>
      </c>
      <c r="B3" s="3" t="s">
        <v>9</v>
      </c>
      <c r="C3" s="4" t="s">
        <v>10</v>
      </c>
      <c r="D3" s="5" t="s">
        <v>11</v>
      </c>
      <c r="E3" s="4" t="s">
        <v>12</v>
      </c>
      <c r="F3" s="4"/>
      <c r="G3" s="6">
        <f t="shared" ref="G3:G40" si="0">IF(D3="Terminé",1,IF(D3="En cours",0.5,0))</f>
        <v>0.5</v>
      </c>
    </row>
    <row r="4" spans="1:7" ht="36" customHeight="1" x14ac:dyDescent="0.25">
      <c r="A4" s="7" t="s">
        <v>13</v>
      </c>
      <c r="B4" s="8" t="s">
        <v>14</v>
      </c>
      <c r="C4" s="9" t="s">
        <v>10</v>
      </c>
      <c r="D4" s="10" t="s">
        <v>15</v>
      </c>
      <c r="E4" s="9" t="s">
        <v>16</v>
      </c>
      <c r="F4" s="9" t="s">
        <v>17</v>
      </c>
      <c r="G4" s="11">
        <f t="shared" si="0"/>
        <v>1</v>
      </c>
    </row>
    <row r="5" spans="1:7" ht="36" customHeight="1" x14ac:dyDescent="0.25">
      <c r="A5" s="7" t="s">
        <v>13</v>
      </c>
      <c r="B5" s="8" t="s">
        <v>18</v>
      </c>
      <c r="C5" s="9" t="s">
        <v>10</v>
      </c>
      <c r="D5" s="12" t="s">
        <v>19</v>
      </c>
      <c r="E5" s="9" t="s">
        <v>16</v>
      </c>
      <c r="F5" s="9"/>
      <c r="G5" s="13">
        <f t="shared" si="0"/>
        <v>0</v>
      </c>
    </row>
    <row r="6" spans="1:7" ht="36" customHeight="1" x14ac:dyDescent="0.25">
      <c r="A6" s="7" t="s">
        <v>13</v>
      </c>
      <c r="B6" s="8" t="s">
        <v>20</v>
      </c>
      <c r="C6" s="9" t="s">
        <v>10</v>
      </c>
      <c r="D6" s="10" t="s">
        <v>15</v>
      </c>
      <c r="E6" s="9" t="s">
        <v>21</v>
      </c>
      <c r="F6" s="9" t="s">
        <v>17</v>
      </c>
      <c r="G6" s="11">
        <f t="shared" si="0"/>
        <v>1</v>
      </c>
    </row>
    <row r="7" spans="1:7" ht="36" customHeight="1" x14ac:dyDescent="0.25">
      <c r="A7" s="2" t="s">
        <v>22</v>
      </c>
      <c r="B7" s="3" t="s">
        <v>23</v>
      </c>
      <c r="C7" s="4" t="s">
        <v>10</v>
      </c>
      <c r="D7" s="10" t="s">
        <v>15</v>
      </c>
      <c r="E7" s="4" t="s">
        <v>16</v>
      </c>
      <c r="F7" s="4" t="s">
        <v>17</v>
      </c>
      <c r="G7" s="11">
        <f t="shared" si="0"/>
        <v>1</v>
      </c>
    </row>
    <row r="8" spans="1:7" ht="36" customHeight="1" x14ac:dyDescent="0.25">
      <c r="A8" s="2" t="s">
        <v>22</v>
      </c>
      <c r="B8" s="3" t="s">
        <v>24</v>
      </c>
      <c r="C8" s="4" t="s">
        <v>10</v>
      </c>
      <c r="D8" s="5" t="s">
        <v>11</v>
      </c>
      <c r="E8" s="4" t="s">
        <v>25</v>
      </c>
      <c r="F8" s="4"/>
      <c r="G8" s="6">
        <f t="shared" si="0"/>
        <v>0.5</v>
      </c>
    </row>
    <row r="9" spans="1:7" ht="36" customHeight="1" x14ac:dyDescent="0.25">
      <c r="A9" s="2" t="s">
        <v>22</v>
      </c>
      <c r="B9" s="3" t="s">
        <v>26</v>
      </c>
      <c r="C9" s="4" t="s">
        <v>10</v>
      </c>
      <c r="D9" s="10" t="s">
        <v>15</v>
      </c>
      <c r="E9" s="4" t="s">
        <v>21</v>
      </c>
      <c r="F9" s="4" t="s">
        <v>17</v>
      </c>
      <c r="G9" s="11">
        <f t="shared" si="0"/>
        <v>1</v>
      </c>
    </row>
    <row r="10" spans="1:7" ht="36" customHeight="1" x14ac:dyDescent="0.25">
      <c r="A10" s="7" t="s">
        <v>27</v>
      </c>
      <c r="B10" s="8" t="s">
        <v>28</v>
      </c>
      <c r="C10" s="9" t="s">
        <v>10</v>
      </c>
      <c r="D10" s="10" t="s">
        <v>15</v>
      </c>
      <c r="E10" s="9" t="s">
        <v>16</v>
      </c>
      <c r="F10" s="9" t="s">
        <v>17</v>
      </c>
      <c r="G10" s="11">
        <f t="shared" si="0"/>
        <v>1</v>
      </c>
    </row>
    <row r="11" spans="1:7" ht="36" customHeight="1" x14ac:dyDescent="0.25">
      <c r="A11" s="2" t="s">
        <v>29</v>
      </c>
      <c r="B11" s="3" t="s">
        <v>30</v>
      </c>
      <c r="C11" s="4" t="s">
        <v>10</v>
      </c>
      <c r="D11" s="5" t="s">
        <v>11</v>
      </c>
      <c r="E11" s="4" t="s">
        <v>31</v>
      </c>
      <c r="F11" s="4"/>
      <c r="G11" s="6">
        <f t="shared" si="0"/>
        <v>0.5</v>
      </c>
    </row>
    <row r="12" spans="1:7" ht="36" customHeight="1" x14ac:dyDescent="0.25">
      <c r="A12" s="2" t="s">
        <v>29</v>
      </c>
      <c r="B12" s="3" t="s">
        <v>32</v>
      </c>
      <c r="C12" s="4" t="s">
        <v>10</v>
      </c>
      <c r="D12" s="12" t="s">
        <v>19</v>
      </c>
      <c r="E12" s="4" t="s">
        <v>21</v>
      </c>
      <c r="F12" s="4"/>
      <c r="G12" s="13">
        <f t="shared" si="0"/>
        <v>0</v>
      </c>
    </row>
    <row r="13" spans="1:7" ht="36" customHeight="1" x14ac:dyDescent="0.25">
      <c r="A13" s="2" t="s">
        <v>29</v>
      </c>
      <c r="B13" s="3" t="s">
        <v>33</v>
      </c>
      <c r="C13" s="4" t="s">
        <v>10</v>
      </c>
      <c r="D13" s="10" t="s">
        <v>15</v>
      </c>
      <c r="E13" s="4" t="s">
        <v>21</v>
      </c>
      <c r="F13" s="4" t="s">
        <v>17</v>
      </c>
      <c r="G13" s="11">
        <f t="shared" si="0"/>
        <v>1</v>
      </c>
    </row>
    <row r="14" spans="1:7" ht="36" customHeight="1" x14ac:dyDescent="0.25">
      <c r="A14" s="7" t="s">
        <v>34</v>
      </c>
      <c r="B14" s="8" t="s">
        <v>35</v>
      </c>
      <c r="C14" s="9" t="s">
        <v>10</v>
      </c>
      <c r="D14" s="12" t="s">
        <v>19</v>
      </c>
      <c r="E14" s="9" t="s">
        <v>36</v>
      </c>
      <c r="F14" s="9"/>
      <c r="G14" s="13">
        <f t="shared" si="0"/>
        <v>0</v>
      </c>
    </row>
    <row r="15" spans="1:7" ht="36" customHeight="1" x14ac:dyDescent="0.25">
      <c r="A15" s="7" t="s">
        <v>34</v>
      </c>
      <c r="B15" s="8" t="s">
        <v>37</v>
      </c>
      <c r="C15" s="9" t="s">
        <v>10</v>
      </c>
      <c r="D15" s="12" t="s">
        <v>19</v>
      </c>
      <c r="E15" s="9" t="s">
        <v>38</v>
      </c>
      <c r="F15" s="9"/>
      <c r="G15" s="13">
        <f t="shared" si="0"/>
        <v>0</v>
      </c>
    </row>
    <row r="16" spans="1:7" ht="36" customHeight="1" x14ac:dyDescent="0.25">
      <c r="A16" s="2" t="s">
        <v>39</v>
      </c>
      <c r="B16" s="3" t="s">
        <v>40</v>
      </c>
      <c r="C16" s="4" t="s">
        <v>10</v>
      </c>
      <c r="D16" s="10" t="s">
        <v>15</v>
      </c>
      <c r="E16" s="4" t="s">
        <v>16</v>
      </c>
      <c r="F16" s="4" t="s">
        <v>17</v>
      </c>
      <c r="G16" s="11">
        <f t="shared" si="0"/>
        <v>1</v>
      </c>
    </row>
    <row r="17" spans="1:7" ht="36" customHeight="1" x14ac:dyDescent="0.25">
      <c r="A17" s="7" t="s">
        <v>41</v>
      </c>
      <c r="B17" s="8" t="s">
        <v>42</v>
      </c>
      <c r="C17" s="9" t="s">
        <v>10</v>
      </c>
      <c r="D17" s="10" t="s">
        <v>15</v>
      </c>
      <c r="E17" s="9" t="s">
        <v>21</v>
      </c>
      <c r="F17" s="9" t="s">
        <v>17</v>
      </c>
      <c r="G17" s="11">
        <f t="shared" si="0"/>
        <v>1</v>
      </c>
    </row>
    <row r="18" spans="1:7" ht="36" customHeight="1" x14ac:dyDescent="0.25">
      <c r="A18" s="2" t="s">
        <v>43</v>
      </c>
      <c r="B18" s="3" t="s">
        <v>44</v>
      </c>
      <c r="C18" s="4" t="s">
        <v>10</v>
      </c>
      <c r="D18" s="10" t="s">
        <v>15</v>
      </c>
      <c r="E18" s="4" t="s">
        <v>16</v>
      </c>
      <c r="F18" s="4" t="s">
        <v>17</v>
      </c>
      <c r="G18" s="11">
        <f t="shared" si="0"/>
        <v>1</v>
      </c>
    </row>
    <row r="19" spans="1:7" ht="36" customHeight="1" x14ac:dyDescent="0.25">
      <c r="A19" s="2" t="s">
        <v>43</v>
      </c>
      <c r="B19" s="3" t="s">
        <v>45</v>
      </c>
      <c r="C19" s="4" t="s">
        <v>10</v>
      </c>
      <c r="D19" s="10" t="s">
        <v>15</v>
      </c>
      <c r="E19" s="4" t="s">
        <v>21</v>
      </c>
      <c r="F19" s="4" t="s">
        <v>17</v>
      </c>
      <c r="G19" s="11">
        <f t="shared" si="0"/>
        <v>1</v>
      </c>
    </row>
    <row r="20" spans="1:7" ht="36" customHeight="1" x14ac:dyDescent="0.25">
      <c r="A20" s="7" t="s">
        <v>46</v>
      </c>
      <c r="B20" s="8" t="s">
        <v>47</v>
      </c>
      <c r="C20" s="9" t="s">
        <v>10</v>
      </c>
      <c r="D20" s="5" t="s">
        <v>11</v>
      </c>
      <c r="E20" s="9" t="s">
        <v>31</v>
      </c>
      <c r="F20" s="9"/>
      <c r="G20" s="6">
        <f t="shared" si="0"/>
        <v>0.5</v>
      </c>
    </row>
    <row r="21" spans="1:7" ht="36" customHeight="1" x14ac:dyDescent="0.25">
      <c r="A21" s="2" t="s">
        <v>48</v>
      </c>
      <c r="B21" s="3" t="s">
        <v>49</v>
      </c>
      <c r="C21" s="4" t="s">
        <v>10</v>
      </c>
      <c r="D21" s="12" t="s">
        <v>19</v>
      </c>
      <c r="E21" s="4" t="s">
        <v>50</v>
      </c>
      <c r="F21" s="4"/>
      <c r="G21" s="13">
        <f t="shared" si="0"/>
        <v>0</v>
      </c>
    </row>
    <row r="22" spans="1:7" ht="36" customHeight="1" x14ac:dyDescent="0.25">
      <c r="A22" s="2" t="s">
        <v>48</v>
      </c>
      <c r="B22" s="3" t="s">
        <v>51</v>
      </c>
      <c r="C22" s="4" t="s">
        <v>10</v>
      </c>
      <c r="D22" s="12" t="s">
        <v>19</v>
      </c>
      <c r="E22" s="4" t="s">
        <v>31</v>
      </c>
      <c r="F22" s="4"/>
      <c r="G22" s="13">
        <f t="shared" si="0"/>
        <v>0</v>
      </c>
    </row>
    <row r="23" spans="1:7" ht="36" customHeight="1" x14ac:dyDescent="0.25">
      <c r="A23" s="2" t="s">
        <v>48</v>
      </c>
      <c r="B23" s="3" t="s">
        <v>52</v>
      </c>
      <c r="C23" s="4" t="s">
        <v>10</v>
      </c>
      <c r="D23" s="12" t="s">
        <v>19</v>
      </c>
      <c r="E23" s="4" t="s">
        <v>50</v>
      </c>
      <c r="F23" s="4"/>
      <c r="G23" s="13">
        <f t="shared" si="0"/>
        <v>0</v>
      </c>
    </row>
    <row r="24" spans="1:7" ht="36" customHeight="1" x14ac:dyDescent="0.25">
      <c r="A24" s="2" t="s">
        <v>48</v>
      </c>
      <c r="B24" s="3" t="s">
        <v>53</v>
      </c>
      <c r="C24" s="4" t="s">
        <v>10</v>
      </c>
      <c r="D24" s="12" t="s">
        <v>19</v>
      </c>
      <c r="E24" s="4" t="s">
        <v>36</v>
      </c>
      <c r="F24" s="4"/>
      <c r="G24" s="13">
        <f t="shared" si="0"/>
        <v>0</v>
      </c>
    </row>
    <row r="25" spans="1:7" ht="36" customHeight="1" x14ac:dyDescent="0.25">
      <c r="A25" s="2" t="s">
        <v>48</v>
      </c>
      <c r="B25" s="3" t="s">
        <v>54</v>
      </c>
      <c r="C25" s="4" t="s">
        <v>10</v>
      </c>
      <c r="D25" s="12" t="s">
        <v>19</v>
      </c>
      <c r="E25" s="4" t="s">
        <v>31</v>
      </c>
      <c r="F25" s="4"/>
      <c r="G25" s="13">
        <f t="shared" si="0"/>
        <v>0</v>
      </c>
    </row>
    <row r="26" spans="1:7" ht="36" customHeight="1" x14ac:dyDescent="0.25">
      <c r="A26" s="7" t="s">
        <v>55</v>
      </c>
      <c r="B26" s="8" t="s">
        <v>56</v>
      </c>
      <c r="C26" s="9" t="s">
        <v>10</v>
      </c>
      <c r="D26" s="12" t="s">
        <v>19</v>
      </c>
      <c r="E26" s="9" t="s">
        <v>36</v>
      </c>
      <c r="F26" s="9"/>
      <c r="G26" s="13">
        <f t="shared" si="0"/>
        <v>0</v>
      </c>
    </row>
    <row r="27" spans="1:7" ht="36" customHeight="1" x14ac:dyDescent="0.25">
      <c r="A27" s="7" t="s">
        <v>55</v>
      </c>
      <c r="B27" s="8" t="s">
        <v>57</v>
      </c>
      <c r="C27" s="9" t="s">
        <v>10</v>
      </c>
      <c r="D27" s="12" t="s">
        <v>19</v>
      </c>
      <c r="E27" s="9" t="s">
        <v>31</v>
      </c>
      <c r="F27" s="9"/>
      <c r="G27" s="13">
        <f t="shared" si="0"/>
        <v>0</v>
      </c>
    </row>
    <row r="28" spans="1:7" ht="36" customHeight="1" x14ac:dyDescent="0.25">
      <c r="A28" s="2" t="s">
        <v>58</v>
      </c>
      <c r="B28" s="3" t="s">
        <v>59</v>
      </c>
      <c r="C28" s="4" t="s">
        <v>10</v>
      </c>
      <c r="D28" s="12" t="s">
        <v>19</v>
      </c>
      <c r="E28" s="4" t="s">
        <v>12</v>
      </c>
      <c r="F28" s="4"/>
      <c r="G28" s="13">
        <f t="shared" si="0"/>
        <v>0</v>
      </c>
    </row>
    <row r="29" spans="1:7" ht="36" customHeight="1" x14ac:dyDescent="0.25">
      <c r="A29" s="2" t="s">
        <v>58</v>
      </c>
      <c r="B29" s="3" t="s">
        <v>60</v>
      </c>
      <c r="C29" s="4" t="s">
        <v>10</v>
      </c>
      <c r="D29" s="12" t="s">
        <v>19</v>
      </c>
      <c r="E29" s="4" t="s">
        <v>12</v>
      </c>
      <c r="F29" s="4"/>
      <c r="G29" s="13">
        <f t="shared" si="0"/>
        <v>0</v>
      </c>
    </row>
    <row r="30" spans="1:7" ht="36" customHeight="1" x14ac:dyDescent="0.25">
      <c r="A30" s="2" t="s">
        <v>58</v>
      </c>
      <c r="B30" s="3" t="s">
        <v>61</v>
      </c>
      <c r="C30" s="4" t="s">
        <v>10</v>
      </c>
      <c r="D30" s="12" t="s">
        <v>19</v>
      </c>
      <c r="E30" s="4" t="s">
        <v>62</v>
      </c>
      <c r="F30" s="4"/>
      <c r="G30" s="13">
        <f t="shared" si="0"/>
        <v>0</v>
      </c>
    </row>
    <row r="31" spans="1:7" ht="36" customHeight="1" x14ac:dyDescent="0.25">
      <c r="A31" s="2" t="s">
        <v>58</v>
      </c>
      <c r="B31" s="3" t="s">
        <v>63</v>
      </c>
      <c r="C31" s="4" t="s">
        <v>10</v>
      </c>
      <c r="D31" s="12" t="s">
        <v>19</v>
      </c>
      <c r="E31" s="4" t="s">
        <v>25</v>
      </c>
      <c r="F31" s="4"/>
      <c r="G31" s="13">
        <f t="shared" si="0"/>
        <v>0</v>
      </c>
    </row>
    <row r="32" spans="1:7" ht="36" customHeight="1" x14ac:dyDescent="0.25">
      <c r="A32" s="7" t="s">
        <v>64</v>
      </c>
      <c r="B32" s="8" t="s">
        <v>65</v>
      </c>
      <c r="C32" s="9" t="s">
        <v>10</v>
      </c>
      <c r="D32" s="12" t="s">
        <v>19</v>
      </c>
      <c r="E32" s="9" t="s">
        <v>38</v>
      </c>
      <c r="F32" s="9"/>
      <c r="G32" s="13">
        <f t="shared" si="0"/>
        <v>0</v>
      </c>
    </row>
    <row r="33" spans="1:7" ht="36" customHeight="1" x14ac:dyDescent="0.25">
      <c r="A33" s="7" t="s">
        <v>64</v>
      </c>
      <c r="B33" s="8" t="s">
        <v>66</v>
      </c>
      <c r="C33" s="9" t="s">
        <v>10</v>
      </c>
      <c r="D33" s="12" t="s">
        <v>19</v>
      </c>
      <c r="E33" s="9" t="s">
        <v>36</v>
      </c>
      <c r="F33" s="9"/>
      <c r="G33" s="13">
        <f t="shared" si="0"/>
        <v>0</v>
      </c>
    </row>
    <row r="34" spans="1:7" ht="36" customHeight="1" x14ac:dyDescent="0.25">
      <c r="A34" s="7" t="s">
        <v>64</v>
      </c>
      <c r="B34" s="8" t="s">
        <v>67</v>
      </c>
      <c r="C34" s="9" t="s">
        <v>10</v>
      </c>
      <c r="D34" s="12" t="s">
        <v>19</v>
      </c>
      <c r="E34" s="9" t="s">
        <v>68</v>
      </c>
      <c r="F34" s="9"/>
      <c r="G34" s="13">
        <f t="shared" si="0"/>
        <v>0</v>
      </c>
    </row>
    <row r="35" spans="1:7" ht="36" customHeight="1" x14ac:dyDescent="0.25">
      <c r="A35" s="2" t="s">
        <v>69</v>
      </c>
      <c r="B35" s="3" t="s">
        <v>70</v>
      </c>
      <c r="C35" s="4" t="s">
        <v>10</v>
      </c>
      <c r="D35" s="12" t="s">
        <v>19</v>
      </c>
      <c r="E35" s="4" t="s">
        <v>38</v>
      </c>
      <c r="F35" s="4"/>
      <c r="G35" s="13">
        <f t="shared" si="0"/>
        <v>0</v>
      </c>
    </row>
    <row r="36" spans="1:7" ht="36" customHeight="1" x14ac:dyDescent="0.25">
      <c r="A36" s="2" t="s">
        <v>69</v>
      </c>
      <c r="B36" s="3" t="s">
        <v>71</v>
      </c>
      <c r="C36" s="4" t="s">
        <v>10</v>
      </c>
      <c r="D36" s="12" t="s">
        <v>19</v>
      </c>
      <c r="E36" s="4" t="s">
        <v>72</v>
      </c>
      <c r="F36" s="4"/>
      <c r="G36" s="13">
        <f t="shared" si="0"/>
        <v>0</v>
      </c>
    </row>
    <row r="37" spans="1:7" ht="36" customHeight="1" x14ac:dyDescent="0.25">
      <c r="A37" s="2" t="s">
        <v>69</v>
      </c>
      <c r="B37" s="3" t="s">
        <v>73</v>
      </c>
      <c r="C37" s="4" t="s">
        <v>10</v>
      </c>
      <c r="D37" s="12" t="s">
        <v>19</v>
      </c>
      <c r="E37" s="4" t="s">
        <v>38</v>
      </c>
      <c r="F37" s="4"/>
      <c r="G37" s="13">
        <f t="shared" si="0"/>
        <v>0</v>
      </c>
    </row>
    <row r="38" spans="1:7" ht="36" customHeight="1" x14ac:dyDescent="0.25">
      <c r="A38" s="7" t="s">
        <v>74</v>
      </c>
      <c r="B38" s="8" t="s">
        <v>75</v>
      </c>
      <c r="C38" s="9" t="s">
        <v>10</v>
      </c>
      <c r="D38" s="12" t="s">
        <v>19</v>
      </c>
      <c r="E38" s="9" t="s">
        <v>68</v>
      </c>
      <c r="F38" s="9"/>
      <c r="G38" s="13">
        <f t="shared" si="0"/>
        <v>0</v>
      </c>
    </row>
    <row r="39" spans="1:7" ht="36" customHeight="1" x14ac:dyDescent="0.25">
      <c r="A39" s="7" t="s">
        <v>74</v>
      </c>
      <c r="B39" s="8" t="s">
        <v>76</v>
      </c>
      <c r="C39" s="9" t="s">
        <v>10</v>
      </c>
      <c r="D39" s="12" t="s">
        <v>19</v>
      </c>
      <c r="E39" s="9" t="s">
        <v>36</v>
      </c>
      <c r="F39" s="9"/>
      <c r="G39" s="13">
        <f t="shared" si="0"/>
        <v>0</v>
      </c>
    </row>
    <row r="40" spans="1:7" ht="36" customHeight="1" x14ac:dyDescent="0.25">
      <c r="A40" s="2" t="s">
        <v>77</v>
      </c>
      <c r="B40" s="3" t="s">
        <v>78</v>
      </c>
      <c r="C40" s="4" t="s">
        <v>10</v>
      </c>
      <c r="D40" s="12" t="s">
        <v>19</v>
      </c>
      <c r="E40" s="4" t="s">
        <v>72</v>
      </c>
      <c r="F40" s="4"/>
      <c r="G40" s="13">
        <f t="shared" si="0"/>
        <v>0</v>
      </c>
    </row>
    <row r="41" spans="1:7" ht="38.1" customHeight="1" x14ac:dyDescent="0.25">
      <c r="A41" s="18" t="str">
        <f>"TOTAL  —  38 tâches  |  "&amp;COUNTIF(D3:D40,"Terminé")&amp;" Terminé  |  "&amp;COUNTIF(D3:D40,"En cours")&amp;" En cours  |  "&amp;COUNTIF(D3:D40,"Non débuté")&amp;" Non débuté"</f>
        <v>TOTAL  —  38 tâches  |  10 Terminé  |  4 En cours  |  24 Non débuté</v>
      </c>
      <c r="B41" s="19"/>
      <c r="C41" s="19"/>
      <c r="D41" s="14"/>
      <c r="E41" s="14"/>
      <c r="F41" s="14"/>
      <c r="G41" s="15">
        <f>AVERAGE(G3:G40)</f>
        <v>0.31578947368421051</v>
      </c>
    </row>
  </sheetData>
  <autoFilter ref="A2:G2" xr:uid="{00000000-0009-0000-0000-000000000000}"/>
  <mergeCells count="2">
    <mergeCell ref="A41:C41"/>
    <mergeCell ref="A1:G1"/>
  </mergeCells>
  <conditionalFormatting sqref="D3:D40">
    <cfRule type="expression" dxfId="5" priority="1" stopIfTrue="1">
      <formula>$D3="Terminé"</formula>
    </cfRule>
    <cfRule type="expression" dxfId="4" priority="2" stopIfTrue="1">
      <formula>$D3="En cours"</formula>
    </cfRule>
    <cfRule type="expression" dxfId="3" priority="3" stopIfTrue="1">
      <formula>$D3="Non débuté"</formula>
    </cfRule>
  </conditionalFormatting>
  <conditionalFormatting sqref="G3:G40">
    <cfRule type="expression" dxfId="2" priority="4" stopIfTrue="1">
      <formula>$D3="Terminé"</formula>
    </cfRule>
    <cfRule type="expression" dxfId="1" priority="5" stopIfTrue="1">
      <formula>$D3="En cours"</formula>
    </cfRule>
    <cfRule type="expression" dxfId="0" priority="6" stopIfTrue="1">
      <formula>$D3="Non débuté"</formula>
    </cfRule>
  </conditionalFormatting>
  <dataValidations count="1">
    <dataValidation type="list" showErrorMessage="1" errorTitle="Valeur invalide" error="Choisissez : Terminé  |  En cours  |  Non débuté" sqref="D3:D40" xr:uid="{00000000-0002-0000-0000-000000000000}">
      <formula1>"Terminé,En cours,Non débuté"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B4" sqref="B4:F4"/>
    </sheetView>
  </sheetViews>
  <sheetFormatPr baseColWidth="10" defaultColWidth="9.140625" defaultRowHeight="15" x14ac:dyDescent="0.25"/>
  <cols>
    <col min="1" max="1" width="3" customWidth="1"/>
    <col min="2" max="6" width="22" customWidth="1"/>
  </cols>
  <sheetData>
    <row r="1" spans="1:6" ht="45" customHeight="1" x14ac:dyDescent="0.25">
      <c r="A1" s="26" t="s">
        <v>79</v>
      </c>
      <c r="B1" s="19"/>
      <c r="C1" s="19"/>
      <c r="D1" s="19"/>
      <c r="E1" s="19"/>
      <c r="F1" s="19"/>
    </row>
    <row r="2" spans="1:6" ht="15.95" customHeight="1" x14ac:dyDescent="0.25"/>
    <row r="3" spans="1:6" ht="27.95" customHeight="1" x14ac:dyDescent="0.25">
      <c r="B3" s="28" t="s">
        <v>80</v>
      </c>
      <c r="C3" s="19"/>
      <c r="D3" s="19"/>
      <c r="E3" s="19"/>
      <c r="F3" s="19"/>
    </row>
    <row r="4" spans="1:6" ht="60" customHeight="1" x14ac:dyDescent="0.25">
      <c r="B4" s="21">
        <f>'Suivi EMS'!G41</f>
        <v>0.31578947368421051</v>
      </c>
      <c r="C4" s="19"/>
      <c r="D4" s="19"/>
      <c r="E4" s="19"/>
      <c r="F4" s="19"/>
    </row>
    <row r="5" spans="1:6" ht="15.95" customHeight="1" x14ac:dyDescent="0.25"/>
    <row r="6" spans="1:6" ht="24" customHeight="1" x14ac:dyDescent="0.25">
      <c r="B6" s="23" t="str">
        <f>"Terminé  —  "&amp;COUNTIF('Suivi EMS'!D3:D40,"Terminé")&amp;" / 38"</f>
        <v>Terminé  —  10 / 38</v>
      </c>
      <c r="C6" s="19"/>
      <c r="D6" s="22" t="str">
        <f>"En cours  —  "&amp;COUNTIF('Suivi EMS'!D3:D40,"En cours")&amp;" / 38"</f>
        <v>En cours  —  4 / 38</v>
      </c>
      <c r="E6" s="19"/>
      <c r="F6" s="16" t="str">
        <f>"Non débuté  —  "&amp;COUNTIF('Suivi EMS'!D3:D40,"Non débuté")&amp;" / 38"</f>
        <v>Non débuté  —  24 / 38</v>
      </c>
    </row>
    <row r="7" spans="1:6" ht="42" customHeight="1" x14ac:dyDescent="0.25">
      <c r="B7" s="25">
        <f>COUNTIF('Suivi EMS'!D3:D40,"Terminé")/38</f>
        <v>0.26315789473684209</v>
      </c>
      <c r="C7" s="19"/>
      <c r="D7" s="24">
        <f>COUNTIF('Suivi EMS'!D3:D40,"En cours")/38</f>
        <v>0.10526315789473684</v>
      </c>
      <c r="E7" s="19"/>
      <c r="F7" s="17">
        <f>COUNTIF('Suivi EMS'!D3:D40,"Non débuté")/38</f>
        <v>0.63157894736842102</v>
      </c>
    </row>
    <row r="8" spans="1:6" ht="15.95" customHeight="1" x14ac:dyDescent="0.25"/>
    <row r="9" spans="1:6" ht="39.950000000000003" customHeight="1" x14ac:dyDescent="0.25">
      <c r="B9" s="29">
        <f>'Suivi EMS'!G41</f>
        <v>0.31578947368421051</v>
      </c>
      <c r="C9" s="19"/>
      <c r="D9" s="19"/>
      <c r="E9" s="19"/>
      <c r="F9" s="19"/>
    </row>
    <row r="11" spans="1:6" x14ac:dyDescent="0.25">
      <c r="B11" s="27" t="s">
        <v>81</v>
      </c>
      <c r="C11" s="19"/>
      <c r="D11" s="19"/>
      <c r="E11" s="19"/>
      <c r="F11" s="19"/>
    </row>
  </sheetData>
  <mergeCells count="9">
    <mergeCell ref="A1:F1"/>
    <mergeCell ref="B11:F11"/>
    <mergeCell ref="B3:F3"/>
    <mergeCell ref="B9:F9"/>
    <mergeCell ref="B4:F4"/>
    <mergeCell ref="D6:E6"/>
    <mergeCell ref="B6:C6"/>
    <mergeCell ref="D7:E7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EMS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 CAPITAL</cp:lastModifiedBy>
  <dcterms:created xsi:type="dcterms:W3CDTF">2026-04-28T16:13:40Z</dcterms:created>
  <dcterms:modified xsi:type="dcterms:W3CDTF">2026-04-28T16:18:23Z</dcterms:modified>
</cp:coreProperties>
</file>